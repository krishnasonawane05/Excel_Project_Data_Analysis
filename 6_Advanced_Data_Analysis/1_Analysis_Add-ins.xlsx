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Excel_Data_Analytics_Course\6_Advanced_Data_Analysis\"/>
    </mc:Choice>
  </mc:AlternateContent>
  <xr:revisionPtr revIDLastSave="0" documentId="13_ncr:1_{1B024B37-3477-4013-BAAE-3B130CB7055B}" xr6:coauthVersionLast="47" xr6:coauthVersionMax="47" xr10:uidLastSave="{00000000-0000-0000-0000-000000000000}"/>
  <bookViews>
    <workbookView xWindow="-108" yWindow="-108" windowWidth="23256" windowHeight="12456" firstSheet="4" activeTab="7" xr2:uid="{6C37AC85-509F-4D10-9DB1-F70D16D6FBAB}"/>
  </bookViews>
  <sheets>
    <sheet name="Sheet1" sheetId="16" r:id="rId1"/>
    <sheet name="Sheet2" sheetId="24" r:id="rId2"/>
    <sheet name="Forecast_Original" sheetId="7" r:id="rId3"/>
    <sheet name="Forecast_Final" sheetId="8" state="hidden" r:id="rId4"/>
    <sheet name="Scenario Summary" sheetId="25" r:id="rId5"/>
    <sheet name="Answer Report 1" sheetId="26" r:id="rId6"/>
    <sheet name="Answer Report 2" sheetId="30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'What-If_Analysis'!$C$4:$C$5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lhs3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2</definedName>
    <definedName name="solver_nwt" localSheetId="7" hidden="1">1</definedName>
    <definedName name="solver_opt" localSheetId="7" hidden="1">'What-If_Analysis'!$C$14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el3" localSheetId="7" hidden="1">1</definedName>
    <definedName name="solver_rhs1" localSheetId="7" hidden="1">0.2</definedName>
    <definedName name="solver_rhs2" localSheetId="7" hidden="1">0.5</definedName>
    <definedName name="solver_rhs3" localSheetId="7" hidden="1">0.05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640000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10" i="3"/>
  <c r="C11" i="3"/>
  <c r="C12" i="3"/>
  <c r="C13" i="3"/>
  <c r="C367" i="16"/>
  <c r="C383" i="16"/>
  <c r="C399" i="16"/>
  <c r="C415" i="16"/>
  <c r="C431" i="16"/>
  <c r="C447" i="16"/>
  <c r="C373" i="16"/>
  <c r="C389" i="16"/>
  <c r="C421" i="16"/>
  <c r="C437" i="16"/>
  <c r="C453" i="16"/>
  <c r="C374" i="16"/>
  <c r="C390" i="16"/>
  <c r="C406" i="16"/>
  <c r="C422" i="16"/>
  <c r="C438" i="16"/>
  <c r="C454" i="16"/>
  <c r="C375" i="16"/>
  <c r="C391" i="16"/>
  <c r="C407" i="16"/>
  <c r="C439" i="16"/>
  <c r="C455" i="16"/>
  <c r="C376" i="16"/>
  <c r="C392" i="16"/>
  <c r="C408" i="16"/>
  <c r="C424" i="16"/>
  <c r="C440" i="16"/>
  <c r="C456" i="16"/>
  <c r="C377" i="16"/>
  <c r="C409" i="16"/>
  <c r="C425" i="16"/>
  <c r="C441" i="16"/>
  <c r="C457" i="16"/>
  <c r="C368" i="16"/>
  <c r="C384" i="16"/>
  <c r="C400" i="16"/>
  <c r="C416" i="16"/>
  <c r="C432" i="16"/>
  <c r="C448" i="16"/>
  <c r="C369" i="16"/>
  <c r="C385" i="16"/>
  <c r="C401" i="16"/>
  <c r="C417" i="16"/>
  <c r="C433" i="16"/>
  <c r="C449" i="16"/>
  <c r="C370" i="16"/>
  <c r="C386" i="16"/>
  <c r="C402" i="16"/>
  <c r="C418" i="16"/>
  <c r="C434" i="16"/>
  <c r="C450" i="16"/>
  <c r="C371" i="16"/>
  <c r="C387" i="16"/>
  <c r="C403" i="16"/>
  <c r="C419" i="16"/>
  <c r="C435" i="16"/>
  <c r="C451" i="16"/>
  <c r="C372" i="16"/>
  <c r="C388" i="16"/>
  <c r="C404" i="16"/>
  <c r="C420" i="16"/>
  <c r="C436" i="16"/>
  <c r="C452" i="16"/>
  <c r="C405" i="16"/>
  <c r="C423" i="16"/>
  <c r="C413" i="16"/>
  <c r="C414" i="16"/>
  <c r="C378" i="16"/>
  <c r="C426" i="16"/>
  <c r="C379" i="16"/>
  <c r="C427" i="16"/>
  <c r="C380" i="16"/>
  <c r="C428" i="16"/>
  <c r="C430" i="16"/>
  <c r="C393" i="16"/>
  <c r="C395" i="16"/>
  <c r="C396" i="16"/>
  <c r="C397" i="16"/>
  <c r="C398" i="16"/>
  <c r="C412" i="16"/>
  <c r="C381" i="16"/>
  <c r="C429" i="16"/>
  <c r="C442" i="16"/>
  <c r="C394" i="16"/>
  <c r="C446" i="16"/>
  <c r="C382" i="16"/>
  <c r="C443" i="16"/>
  <c r="C444" i="16"/>
  <c r="C445" i="16"/>
  <c r="C458" i="16"/>
  <c r="C410" i="16"/>
  <c r="C411" i="16"/>
  <c r="E458" i="16"/>
  <c r="D429" i="16"/>
  <c r="D430" i="16"/>
  <c r="D413" i="16"/>
  <c r="E372" i="16"/>
  <c r="D434" i="16"/>
  <c r="D401" i="16"/>
  <c r="D368" i="16"/>
  <c r="D424" i="16"/>
  <c r="D375" i="16"/>
  <c r="E437" i="16"/>
  <c r="D383" i="16"/>
  <c r="E445" i="16"/>
  <c r="E381" i="16"/>
  <c r="D428" i="16"/>
  <c r="E423" i="16"/>
  <c r="D451" i="16"/>
  <c r="D418" i="16"/>
  <c r="D385" i="16"/>
  <c r="D457" i="16"/>
  <c r="E408" i="16"/>
  <c r="D454" i="16"/>
  <c r="D421" i="16"/>
  <c r="E367" i="16"/>
  <c r="D445" i="16"/>
  <c r="D381" i="16"/>
  <c r="E428" i="16"/>
  <c r="D423" i="16"/>
  <c r="E451" i="16"/>
  <c r="E418" i="16"/>
  <c r="E385" i="16"/>
  <c r="E457" i="16"/>
  <c r="D408" i="16"/>
  <c r="E454" i="16"/>
  <c r="E421" i="16"/>
  <c r="D367" i="16"/>
  <c r="E444" i="16"/>
  <c r="D412" i="16"/>
  <c r="D380" i="16"/>
  <c r="D405" i="16"/>
  <c r="D435" i="16"/>
  <c r="E402" i="16"/>
  <c r="E369" i="16"/>
  <c r="D441" i="16"/>
  <c r="E392" i="16"/>
  <c r="D438" i="16"/>
  <c r="D389" i="16"/>
  <c r="D444" i="16"/>
  <c r="E412" i="16"/>
  <c r="E380" i="16"/>
  <c r="E405" i="16"/>
  <c r="E435" i="16"/>
  <c r="D402" i="16"/>
  <c r="D369" i="16"/>
  <c r="E441" i="16"/>
  <c r="D392" i="16"/>
  <c r="E438" i="16"/>
  <c r="E389" i="16"/>
  <c r="D443" i="16"/>
  <c r="E398" i="16"/>
  <c r="D427" i="16"/>
  <c r="D452" i="16"/>
  <c r="D419" i="16"/>
  <c r="E386" i="16"/>
  <c r="E448" i="16"/>
  <c r="D425" i="16"/>
  <c r="E376" i="16"/>
  <c r="D422" i="16"/>
  <c r="D373" i="16"/>
  <c r="E443" i="16"/>
  <c r="D398" i="16"/>
  <c r="E427" i="16"/>
  <c r="E452" i="16"/>
  <c r="E419" i="16"/>
  <c r="D386" i="16"/>
  <c r="D448" i="16"/>
  <c r="E425" i="16"/>
  <c r="D376" i="16"/>
  <c r="E422" i="16"/>
  <c r="E373" i="16"/>
  <c r="E382" i="16"/>
  <c r="E397" i="16"/>
  <c r="D379" i="16"/>
  <c r="D436" i="16"/>
  <c r="D403" i="16"/>
  <c r="D370" i="16"/>
  <c r="E432" i="16"/>
  <c r="D409" i="16"/>
  <c r="E455" i="16"/>
  <c r="D406" i="16"/>
  <c r="E447" i="16"/>
  <c r="D382" i="16"/>
  <c r="D397" i="16"/>
  <c r="E379" i="16"/>
  <c r="E436" i="16"/>
  <c r="E403" i="16"/>
  <c r="E370" i="16"/>
  <c r="D432" i="16"/>
  <c r="E409" i="16"/>
  <c r="D455" i="16"/>
  <c r="E406" i="16"/>
  <c r="D447" i="16"/>
  <c r="E446" i="16"/>
  <c r="E396" i="16"/>
  <c r="D426" i="16"/>
  <c r="D420" i="16"/>
  <c r="D387" i="16"/>
  <c r="E449" i="16"/>
  <c r="E416" i="16"/>
  <c r="D377" i="16"/>
  <c r="E439" i="16"/>
  <c r="D390" i="16"/>
  <c r="E431" i="16"/>
  <c r="D446" i="16"/>
  <c r="D396" i="16"/>
  <c r="E426" i="16"/>
  <c r="E420" i="16"/>
  <c r="E387" i="16"/>
  <c r="D449" i="16"/>
  <c r="D416" i="16"/>
  <c r="E377" i="16"/>
  <c r="D439" i="16"/>
  <c r="E390" i="16"/>
  <c r="D431" i="16"/>
  <c r="D411" i="16"/>
  <c r="D394" i="16"/>
  <c r="D395" i="16"/>
  <c r="D378" i="16"/>
  <c r="D404" i="16"/>
  <c r="D371" i="16"/>
  <c r="E433" i="16"/>
  <c r="E400" i="16"/>
  <c r="E456" i="16"/>
  <c r="E407" i="16"/>
  <c r="D374" i="16"/>
  <c r="E415" i="16"/>
  <c r="E411" i="16"/>
  <c r="E394" i="16"/>
  <c r="E395" i="16"/>
  <c r="E378" i="16"/>
  <c r="E404" i="16"/>
  <c r="E371" i="16"/>
  <c r="D433" i="16"/>
  <c r="D400" i="16"/>
  <c r="D456" i="16"/>
  <c r="D407" i="16"/>
  <c r="E374" i="16"/>
  <c r="D415" i="16"/>
  <c r="D410" i="16"/>
  <c r="D442" i="16"/>
  <c r="D393" i="16"/>
  <c r="E414" i="16"/>
  <c r="D388" i="16"/>
  <c r="E450" i="16"/>
  <c r="E417" i="16"/>
  <c r="E384" i="16"/>
  <c r="E440" i="16"/>
  <c r="E391" i="16"/>
  <c r="D453" i="16"/>
  <c r="E399" i="16"/>
  <c r="E410" i="16"/>
  <c r="E442" i="16"/>
  <c r="E393" i="16"/>
  <c r="D414" i="16"/>
  <c r="E388" i="16"/>
  <c r="D450" i="16"/>
  <c r="D417" i="16"/>
  <c r="D384" i="16"/>
  <c r="D440" i="16"/>
  <c r="D391" i="16"/>
  <c r="E453" i="16"/>
  <c r="D399" i="16"/>
  <c r="D458" i="16"/>
  <c r="E429" i="16"/>
  <c r="E430" i="16"/>
  <c r="E413" i="16"/>
  <c r="D372" i="16"/>
  <c r="E434" i="16"/>
  <c r="E401" i="16"/>
  <c r="E368" i="16"/>
  <c r="E424" i="16"/>
  <c r="E375" i="16"/>
  <c r="D437" i="16"/>
  <c r="E383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<sst xmlns="http://schemas.openxmlformats.org/spreadsheetml/2006/main" count="247" uniqueCount="88">
  <si>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</si>
  <si>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</si>
  <si>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</si>
  <si>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</si>
  <si>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</si>
  <si>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</si>
  <si>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</si>
  <si>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</si>
  <si>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</si>
  <si>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</si>
  <si>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</si>
  <si>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</si>
  <si>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</si>
  <si>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</si>
  <si>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</si>
  <si>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</si>
  <si>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</si>
  <si>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</si>
  <si>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</si>
  <si>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</si>
  <si>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</si>
  <si>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</si>
  <si>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</si>
  <si>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</si>
  <si>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</si>
  <si>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</si>
  <si>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</si>
  <si>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</si>
  <si>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</si>
  <si>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</si>
  <si>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</si>
  <si>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</si>
  <si>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</si>
  <si>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</si>
  <si>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</si>
  <si>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</si>
  <si>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</si>
  <si>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</si>
  <si>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</si>
  <si>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</si>
  <si>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</si>
  <si>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</si>
  <si>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</si>
  <si>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</si>
  <si>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</si>
  <si>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</si>
  <si>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</si>
  <si>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</si>
  <si>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</si>
  <si>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</si>
  <si>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</si>
  <si>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</si>
  <si>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</si>
  <si>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</si>
  <si>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</si>
  <si>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</si>
  <si>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</si>
  <si>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</si>
  <si>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</si>
  <si>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</si>
  <si>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</si>
  <si>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</si>
  <si>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</si>
  <si>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</si>
  <si>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</si>
  <si>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</si>
  <si>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</si>
  <si>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</si>
  <si>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</si>
  <si>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</si>
  <si>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</si>
  <si>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</si>
  <si>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</si>
  <si>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</si>
  <si>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</si>
  <si>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</si>
  <si>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</si>
  <si>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</si>
  <si>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KRISHNA on 21-03-2026</t>
  </si>
  <si>
    <t>Created by KRISHNA on 21-03-2026
Modified by KRISHNA on 21-03-2026</t>
  </si>
  <si>
    <t>$C$4&lt;=0.2</t>
  </si>
  <si>
    <t>$C$5&lt;=0.05</t>
  </si>
  <si>
    <t>Report Created: 23-05-2026 08:30:08 PM</t>
  </si>
  <si>
    <t>Solution Time: 0.031 Seconds.</t>
  </si>
  <si>
    <t>Iterations: 3 Subproblems: 0</t>
  </si>
  <si>
    <t>$C$5&lt;=0.5</t>
  </si>
  <si>
    <t>Report Created: 23-05-2026 08:36:26 PM</t>
  </si>
  <si>
    <t>Solution Time: 0.016 Seconds.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</si>
</sst>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₹&quot;* #,##0_);_(&quot;₹&quot;* \(#,##0\);_(&quot;₹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5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168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491025578324451E-2"/>
          <c:y val="3.2874527047755397E-2"/>
          <c:w val="0.93459356710845931"/>
          <c:h val="0.74894038245219352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5-4D26-A69C-998631638C7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5-4D26-A69C-998631638C7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85-4D26-A69C-998631638C7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85-4D26-A69C-998631638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787215"/>
        <c:axId val="2094553535"/>
      </c:lineChart>
      <c:catAx>
        <c:axId val="41478721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553535"/>
        <c:crosses val="autoZero"/>
        <c:auto val="1"/>
        <c:lblAlgn val="ctr"/>
        <c:lblOffset val="100"/>
        <c:noMultiLvlLbl val="0"/>
      </c:catAx>
      <c:valAx>
        <c:axId val="209455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8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3</xdr:row>
      <xdr:rowOff>64770</xdr:rowOff>
    </xdr:from>
    <xdr:to>
      <xdr:col>17</xdr:col>
      <xdr:colOff>398145</xdr:colOff>
      <xdr:row>23</xdr:row>
      <xdr:rowOff>74295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2D1E44-8C9B-8CF4-272F-AA9C7D686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B28BBD-5744-47BC-8C25-6C096871E80D}" name="Table2" displayName="Table2" ref="A1:E458" totalsRowShown="0">
  <autoFilter ref="A1:E458" xr:uid="{40B28BBD-5744-47BC-8C25-6C096871E80D}"/>
  <tableColumns count="5">
    <tableColumn id="1" xr3:uid="{D0C56A78-DC76-4C7E-AAFF-E3056AA17D9F}" name="Date" dataDxfId="5"/>
    <tableColumn id="2" xr3:uid="{91062EBF-152D-4FBA-BB66-E970326459C9}" name="Job Count"/>
    <tableColumn id="3" xr3:uid="{151A68D5-128A-4248-B070-FA2FDEA9F3B2}" name="Forecast(Job Count)">
      <calculatedColumnFormula>_xlfn.FORECAST.ETS(A2,$B$2:$B$366,$A$2:$A$366,1,1)</calculatedColumnFormula>
    </tableColumn>
    <tableColumn id="4" xr3:uid="{354A756B-6D2D-4FA3-A0F0-943D8494173D}" name="Lower Confidence Bound(Job Count)" dataDxfId="4">
      <calculatedColumnFormula>C2-_xlfn.FORECAST.ETS.CONFINT(A2,$B$2:$B$366,$A$2:$A$366,0.95,1,1)</calculatedColumnFormula>
    </tableColumn>
    <tableColumn id="5" xr3:uid="{84F9FA24-03C9-419C-941F-8E5530CE8F07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49B5-CAEC-49A6-B1CA-6855F46CD670}">
  <dimension ref="A1:E458"/>
  <sheetViews>
    <sheetView topLeftCell="A19" workbookViewId="0"/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8CEF-5604-48DC-B35F-F42A577EFFB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B027-58A9-4FA8-8C72-5AA54B343E5F}">
  <sheetPr>
    <outlinePr summaryBelow="0"/>
  </sheetPr>
  <dimension ref="B1:G18"/>
  <sheetViews>
    <sheetView showGridLines="0" workbookViewId="0"/>
  </sheetViews>
  <sheetFormatPr defaultRowHeight="14.4" outlineLevelRow="1" outlineLevelCol="1" x14ac:dyDescent="0.3"/>
  <cols>
    <col min="3" max="3" width="10.33203125" bestFit="1" customWidth="1"/>
    <col min="4" max="7" width="12.6640625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54" hidden="1" outlineLevel="1" x14ac:dyDescent="0.3">
      <c r="B4" s="73"/>
      <c r="C4" s="73"/>
      <c r="D4" s="67"/>
      <c r="E4" s="77" t="s">
        <v>79</v>
      </c>
      <c r="F4" s="77" t="s">
        <v>78</v>
      </c>
      <c r="G4" s="77" t="s">
        <v>79</v>
      </c>
    </row>
    <row r="5" spans="2:7" x14ac:dyDescent="0.3">
      <c r="B5" s="25" t="s">
        <v>23</v>
      </c>
      <c r="C5" s="25"/>
      <c r="D5" s="72"/>
      <c r="E5" s="72"/>
      <c r="F5" s="72"/>
      <c r="G5" s="72"/>
    </row>
    <row r="6" spans="2:7" outlineLevel="1" x14ac:dyDescent="0.3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3">
      <c r="B7" s="73"/>
      <c r="C7" s="73" t="s">
        <v>15</v>
      </c>
      <c r="D7" s="69">
        <v>0.17283479610661401</v>
      </c>
      <c r="E7" s="75">
        <v>0.1</v>
      </c>
      <c r="F7" s="75">
        <v>0.15</v>
      </c>
      <c r="G7" s="75">
        <v>0.05</v>
      </c>
    </row>
    <row r="8" spans="2:7" outlineLevel="1" x14ac:dyDescent="0.3">
      <c r="B8" s="73"/>
      <c r="C8" s="73" t="s">
        <v>16</v>
      </c>
      <c r="D8" s="70">
        <v>4.3731865887940702E-2</v>
      </c>
      <c r="E8" s="76">
        <v>1.4999999999999999E-2</v>
      </c>
      <c r="F8" s="76">
        <v>1.2E-2</v>
      </c>
      <c r="G8" s="76">
        <v>8.0000000000000002E-3</v>
      </c>
    </row>
    <row r="9" spans="2:7" x14ac:dyDescent="0.3">
      <c r="B9" s="25" t="s">
        <v>25</v>
      </c>
      <c r="C9" s="25"/>
      <c r="D9" s="72"/>
      <c r="E9" s="72"/>
      <c r="F9" s="72"/>
      <c r="G9" s="72"/>
    </row>
    <row r="10" spans="2:7" outlineLevel="1" x14ac:dyDescent="0.3">
      <c r="B10" s="73"/>
      <c r="C10" s="73" t="s">
        <v>31</v>
      </c>
      <c r="D10" s="68">
        <v>117283.479610661</v>
      </c>
      <c r="E10" s="68">
        <v>110000</v>
      </c>
      <c r="F10" s="68">
        <v>92000</v>
      </c>
      <c r="G10" s="68">
        <v>126000</v>
      </c>
    </row>
    <row r="11" spans="2:7" outlineLevel="1" x14ac:dyDescent="0.3">
      <c r="B11" s="73"/>
      <c r="C11" s="73" t="s">
        <v>36</v>
      </c>
      <c r="D11" s="68">
        <v>122412.505011866</v>
      </c>
      <c r="E11" s="68">
        <v>111650</v>
      </c>
      <c r="F11" s="68">
        <v>93104</v>
      </c>
      <c r="G11" s="68">
        <v>127008</v>
      </c>
    </row>
    <row r="12" spans="2:7" outlineLevel="1" x14ac:dyDescent="0.3">
      <c r="B12" s="73"/>
      <c r="C12" s="73" t="s">
        <v>32</v>
      </c>
      <c r="D12" s="68">
        <v>127765.83226405201</v>
      </c>
      <c r="E12" s="68">
        <v>113324.75</v>
      </c>
      <c r="F12" s="68">
        <v>94221.248000000007</v>
      </c>
      <c r="G12" s="68">
        <v>128024.064</v>
      </c>
    </row>
    <row r="13" spans="2:7" outlineLevel="1" x14ac:dyDescent="0.3">
      <c r="B13" s="73"/>
      <c r="C13" s="73" t="s">
        <v>33</v>
      </c>
      <c r="D13" s="68">
        <v>133353.27050568399</v>
      </c>
      <c r="E13" s="68">
        <v>115024.62125</v>
      </c>
      <c r="F13" s="68">
        <v>95351.902975999998</v>
      </c>
      <c r="G13" s="68">
        <v>129048.25651200001</v>
      </c>
    </row>
    <row r="14" spans="2:7" outlineLevel="1" x14ac:dyDescent="0.3">
      <c r="B14" s="73"/>
      <c r="C14" s="73" t="s">
        <v>34</v>
      </c>
      <c r="D14" s="68">
        <v>139185.057847157</v>
      </c>
      <c r="E14" s="68">
        <v>116749.99056875</v>
      </c>
      <c r="F14" s="68">
        <v>96496.125811712001</v>
      </c>
      <c r="G14" s="68">
        <v>130080.64256409599</v>
      </c>
    </row>
    <row r="15" spans="2:7" ht="15" outlineLevel="1" thickBot="1" x14ac:dyDescent="0.35">
      <c r="B15" s="26"/>
      <c r="C15" s="26" t="s">
        <v>35</v>
      </c>
      <c r="D15" s="71">
        <v>640000.14523942</v>
      </c>
      <c r="E15" s="71">
        <v>566749.36181875004</v>
      </c>
      <c r="F15" s="71">
        <v>471173.27678771201</v>
      </c>
      <c r="G15" s="71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FC13-6D91-4565-A371-398001D6434F}">
  <dimension ref="A1:G29"/>
  <sheetViews>
    <sheetView showGridLines="0" workbookViewId="0">
      <selection activeCell="D22" sqref="D22"/>
    </sheetView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82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83</v>
      </c>
    </row>
    <row r="8" spans="1:5" hidden="1" outlineLevel="1" x14ac:dyDescent="0.3">
      <c r="A8" s="7"/>
      <c r="B8" t="s">
        <v>84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566749.36181874992</v>
      </c>
      <c r="E16" s="81">
        <v>640000.47554589238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</v>
      </c>
      <c r="E21" s="82">
        <v>0.2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1.4999999999999999E-2</v>
      </c>
      <c r="E22" s="83">
        <v>3.2275127046292686E-2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3">
      <c r="B27" s="80" t="s">
        <v>29</v>
      </c>
      <c r="C27" s="80" t="s">
        <v>35</v>
      </c>
      <c r="D27" s="84">
        <v>640000.47554589238</v>
      </c>
      <c r="E27" s="80" t="s">
        <v>63</v>
      </c>
      <c r="F27" s="80" t="s">
        <v>64</v>
      </c>
      <c r="G27" s="80">
        <v>0</v>
      </c>
    </row>
    <row r="28" spans="1:7" x14ac:dyDescent="0.3">
      <c r="B28" s="80" t="s">
        <v>60</v>
      </c>
      <c r="C28" s="80" t="s">
        <v>15</v>
      </c>
      <c r="D28" s="82">
        <v>0.2</v>
      </c>
      <c r="E28" s="80" t="s">
        <v>80</v>
      </c>
      <c r="F28" s="80" t="s">
        <v>64</v>
      </c>
      <c r="G28" s="80">
        <v>0</v>
      </c>
    </row>
    <row r="29" spans="1:7" ht="15" thickBot="1" x14ac:dyDescent="0.35">
      <c r="B29" s="78" t="s">
        <v>62</v>
      </c>
      <c r="C29" s="78" t="s">
        <v>16</v>
      </c>
      <c r="D29" s="83">
        <v>3.2275127046292686E-2</v>
      </c>
      <c r="E29" s="78" t="s">
        <v>81</v>
      </c>
      <c r="F29" s="78" t="s">
        <v>66</v>
      </c>
      <c r="G29" s="78">
        <v>1.7724872953707317E-2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52BC-E9FE-492A-9CCD-6249D92F8E5E}">
  <dimension ref="A1:G29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86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87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639999.91552915843</v>
      </c>
      <c r="E16" s="81">
        <v>639999.91552915843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0.15</v>
      </c>
      <c r="E21" s="82">
        <v>0.15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5.3573806637754462E-2</v>
      </c>
      <c r="E22" s="83">
        <v>5.3573806637754462E-2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3">
      <c r="B27" s="80" t="s">
        <v>29</v>
      </c>
      <c r="C27" s="80" t="s">
        <v>35</v>
      </c>
      <c r="D27" s="84">
        <v>639999.91552915843</v>
      </c>
      <c r="E27" s="80" t="s">
        <v>63</v>
      </c>
      <c r="F27" s="80" t="s">
        <v>64</v>
      </c>
      <c r="G27" s="80">
        <v>0</v>
      </c>
    </row>
    <row r="28" spans="1:7" x14ac:dyDescent="0.3">
      <c r="B28" s="80" t="s">
        <v>60</v>
      </c>
      <c r="C28" s="80" t="s">
        <v>15</v>
      </c>
      <c r="D28" s="82">
        <v>0.15</v>
      </c>
      <c r="E28" s="80" t="s">
        <v>80</v>
      </c>
      <c r="F28" s="80" t="s">
        <v>66</v>
      </c>
      <c r="G28" s="80">
        <v>5.0000000000000017E-2</v>
      </c>
    </row>
    <row r="29" spans="1:7" ht="15" thickBot="1" x14ac:dyDescent="0.35">
      <c r="B29" s="78" t="s">
        <v>62</v>
      </c>
      <c r="C29" s="78" t="s">
        <v>16</v>
      </c>
      <c r="D29" s="83">
        <v>5.3573806637754462E-2</v>
      </c>
      <c r="E29" s="78" t="s">
        <v>85</v>
      </c>
      <c r="F29" s="78" t="s">
        <v>66</v>
      </c>
      <c r="G29" s="78">
        <v>0.44642619336224554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="150" zoomScaleNormal="150" workbookViewId="0">
      <selection activeCell="C4" sqref="C4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0.15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5.3573806637754462E-2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4" thickBot="1" x14ac:dyDescent="0.3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">
      <c r="B7" s="65" t="s">
        <v>5</v>
      </c>
      <c r="C7" s="66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114999.99999999999</v>
      </c>
    </row>
    <row r="10" spans="2:8" x14ac:dyDescent="0.3">
      <c r="B10" s="4">
        <v>1</v>
      </c>
      <c r="C10" s="2">
        <f>(base*(1+raise)^B10)*(1+bonus)</f>
        <v>121160.98776334175</v>
      </c>
    </row>
    <row r="11" spans="2:8" x14ac:dyDescent="0.3">
      <c r="B11" s="4">
        <v>2</v>
      </c>
      <c r="C11" s="2">
        <f>(base*(1+raise)^B11)*(1+bonus)</f>
        <v>127652.04309381435</v>
      </c>
    </row>
    <row r="12" spans="2:8" x14ac:dyDescent="0.3">
      <c r="B12" s="4">
        <v>3</v>
      </c>
      <c r="C12" s="2">
        <f>(base*(1+raise)^B12)*(1+bonus)</f>
        <v>134490.8489674367</v>
      </c>
    </row>
    <row r="13" spans="2:8" ht="15" thickBot="1" x14ac:dyDescent="0.35">
      <c r="B13" s="36">
        <v>4</v>
      </c>
      <c r="C13" s="37">
        <f>(base*(1+raise)^B13)*(1+bonus)</f>
        <v>141696.03570456558</v>
      </c>
    </row>
    <row r="14" spans="2:8" ht="15.6" thickTop="1" thickBot="1" x14ac:dyDescent="0.35">
      <c r="B14" s="34" t="s">
        <v>3</v>
      </c>
      <c r="C14" s="35">
        <f>SUM(C9:C13)</f>
        <v>639999.91552915843</v>
      </c>
    </row>
  </sheetData>
  <scenarios current="0" sqref="C9:C14">
    <scenario name="Job 1" locked="1" count="3" user="KRISHNA" comment="Created by KRISHNA on 21-03-2026_x000a_Modified by KRISHNA on 21-03-2026">
      <inputCells r="C3" val="100000" numFmtId="165"/>
      <inputCells r="C4" val="0.1" numFmtId="9"/>
      <inputCells r="C5" val="0.015" numFmtId="166"/>
    </scenario>
    <scenario name="Job 2" locked="1" count="3" user="KRISHNA" comment="Created by KRISHNA on 21-03-2026">
      <inputCells r="C3" val="80000" numFmtId="165"/>
      <inputCells r="C4" val="0.15" numFmtId="9"/>
      <inputCells r="C5" val="0.012" numFmtId="166"/>
    </scenario>
    <scenario name="Job 3" locked="1" count="3" user="KRISHNA" comment="Created by KRISHNA on 21-03-2026_x000a_Modified by KRISHNA on 21-03-2026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3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640000.63710000005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3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Sheet2</vt:lpstr>
      <vt:lpstr>Forecast_Original</vt:lpstr>
      <vt:lpstr>Forecast_Final</vt:lpstr>
      <vt:lpstr>Scenario Summary</vt:lpstr>
      <vt:lpstr>Answer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Sonawane Krishna</cp:lastModifiedBy>
  <dcterms:created xsi:type="dcterms:W3CDTF">2024-08-08T18:34:47Z</dcterms:created>
  <dcterms:modified xsi:type="dcterms:W3CDTF">2026-05-23T15:07:58Z</dcterms:modified>
</cp:coreProperties>
</file>