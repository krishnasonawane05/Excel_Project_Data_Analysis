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ata Analyst\Excel_Data_Analytics_Course\2_Formulas_Functions\"/>
    </mc:Choice>
  </mc:AlternateContent>
  <xr:revisionPtr revIDLastSave="0" documentId="13_ncr:1_{B76ACB71-263E-4BD4-A719-E3BE590EF6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2" i="8" l="1"/>
  <c r="X23" i="8"/>
  <c r="X24" i="8"/>
  <c r="X25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I2" i="8" a="1"/>
  <c r="I2" i="8" s="1"/>
  <c r="O2" i="8" a="1"/>
  <c r="O2" i="8" s="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J3" i="15"/>
  <c r="K3" i="15"/>
  <c r="L3" i="15"/>
  <c r="N3" i="15"/>
  <c r="J4" i="15"/>
  <c r="R11" i="15" s="1"/>
  <c r="K4" i="15"/>
  <c r="L4" i="15"/>
  <c r="N4" i="15"/>
  <c r="J5" i="15"/>
  <c r="N5" i="15" s="1"/>
  <c r="K5" i="15"/>
  <c r="L5" i="15"/>
  <c r="J6" i="15"/>
  <c r="K6" i="15"/>
  <c r="L6" i="15"/>
  <c r="N6" i="15"/>
  <c r="J7" i="15"/>
  <c r="K7" i="15"/>
  <c r="L7" i="15"/>
  <c r="N7" i="15"/>
  <c r="J8" i="15"/>
  <c r="K8" i="15"/>
  <c r="L8" i="15"/>
  <c r="N8" i="15"/>
  <c r="J9" i="15"/>
  <c r="N9" i="15" s="1"/>
  <c r="K9" i="15"/>
  <c r="L9" i="15"/>
  <c r="J10" i="15"/>
  <c r="K10" i="15"/>
  <c r="L10" i="15"/>
  <c r="N10" i="15"/>
  <c r="J11" i="15"/>
  <c r="K11" i="15"/>
  <c r="L11" i="15"/>
  <c r="N11" i="15"/>
  <c r="J12" i="15"/>
  <c r="K12" i="15"/>
  <c r="L12" i="15"/>
  <c r="N12" i="15"/>
  <c r="J13" i="15"/>
  <c r="N13" i="15" s="1"/>
  <c r="K13" i="15"/>
  <c r="L13" i="15"/>
  <c r="J14" i="15"/>
  <c r="K14" i="15"/>
  <c r="L14" i="15"/>
  <c r="N14" i="15"/>
  <c r="J15" i="15"/>
  <c r="K15" i="15"/>
  <c r="L15" i="15"/>
  <c r="N15" i="15"/>
  <c r="J16" i="15"/>
  <c r="K16" i="15"/>
  <c r="L16" i="15"/>
  <c r="N16" i="15"/>
  <c r="J17" i="15"/>
  <c r="N17" i="15" s="1"/>
  <c r="K17" i="15"/>
  <c r="L17" i="15"/>
  <c r="J18" i="15"/>
  <c r="K18" i="15"/>
  <c r="L18" i="15"/>
  <c r="N18" i="15"/>
  <c r="J19" i="15"/>
  <c r="K19" i="15"/>
  <c r="L19" i="15"/>
  <c r="N19" i="15"/>
  <c r="J20" i="15"/>
  <c r="K20" i="15"/>
  <c r="L20" i="15"/>
  <c r="N20" i="15"/>
  <c r="J21" i="15"/>
  <c r="N21" i="15" s="1"/>
  <c r="K21" i="15"/>
  <c r="L21" i="15"/>
  <c r="N2" i="15"/>
  <c r="L2" i="15"/>
  <c r="K2" i="15"/>
  <c r="J2" i="15"/>
  <c r="P2" i="8"/>
  <c r="R4" i="8" s="1"/>
  <c r="J3" i="8"/>
  <c r="K3" i="8"/>
  <c r="L3" i="8"/>
  <c r="N3" i="8" s="1"/>
  <c r="J4" i="8"/>
  <c r="K4" i="8"/>
  <c r="L4" i="8"/>
  <c r="N4" i="8"/>
  <c r="J5" i="8"/>
  <c r="K5" i="8"/>
  <c r="L5" i="8"/>
  <c r="N5" i="8"/>
  <c r="J6" i="8"/>
  <c r="K6" i="8"/>
  <c r="L6" i="8"/>
  <c r="N6" i="8" s="1"/>
  <c r="J7" i="8"/>
  <c r="K7" i="8"/>
  <c r="L7" i="8"/>
  <c r="N7" i="8"/>
  <c r="J8" i="8"/>
  <c r="K8" i="8"/>
  <c r="L8" i="8"/>
  <c r="N8" i="8"/>
  <c r="J9" i="8"/>
  <c r="K9" i="8"/>
  <c r="L9" i="8"/>
  <c r="N9" i="8"/>
  <c r="J10" i="8"/>
  <c r="K10" i="8"/>
  <c r="L10" i="8"/>
  <c r="N10" i="8"/>
  <c r="J11" i="8"/>
  <c r="K11" i="8"/>
  <c r="L11" i="8"/>
  <c r="N11" i="8"/>
  <c r="J12" i="8"/>
  <c r="K12" i="8"/>
  <c r="L12" i="8"/>
  <c r="N12" i="8"/>
  <c r="J13" i="8"/>
  <c r="K13" i="8"/>
  <c r="L13" i="8"/>
  <c r="N13" i="8"/>
  <c r="J14" i="8"/>
  <c r="K14" i="8"/>
  <c r="L14" i="8"/>
  <c r="N14" i="8"/>
  <c r="J15" i="8"/>
  <c r="K15" i="8"/>
  <c r="L15" i="8"/>
  <c r="N15" i="8"/>
  <c r="J16" i="8"/>
  <c r="K16" i="8"/>
  <c r="L16" i="8"/>
  <c r="N16" i="8"/>
  <c r="J17" i="8"/>
  <c r="K17" i="8"/>
  <c r="L17" i="8"/>
  <c r="N17" i="8"/>
  <c r="J18" i="8"/>
  <c r="K18" i="8"/>
  <c r="L18" i="8"/>
  <c r="N18" i="8"/>
  <c r="J19" i="8"/>
  <c r="K19" i="8"/>
  <c r="L19" i="8"/>
  <c r="N19" i="8"/>
  <c r="J20" i="8"/>
  <c r="K20" i="8"/>
  <c r="L20" i="8"/>
  <c r="N20" i="8"/>
  <c r="J21" i="8"/>
  <c r="K21" i="8"/>
  <c r="L21" i="8"/>
  <c r="N21" i="8"/>
  <c r="N2" i="8"/>
  <c r="K2" i="8"/>
  <c r="L2" i="8"/>
  <c r="J2" i="8"/>
  <c r="N2" i="14"/>
  <c r="R15" i="15" l="1"/>
  <c r="R14" i="15"/>
  <c r="R13" i="15"/>
  <c r="R12" i="15"/>
  <c r="R16" i="15"/>
  <c r="R26" i="15"/>
  <c r="R10" i="15"/>
  <c r="R25" i="15"/>
  <c r="R9" i="15"/>
  <c r="R24" i="15"/>
  <c r="R8" i="15"/>
  <c r="R23" i="15"/>
  <c r="R7" i="15"/>
  <c r="R22" i="15"/>
  <c r="R6" i="15"/>
  <c r="R21" i="15"/>
  <c r="R5" i="15"/>
  <c r="R20" i="15"/>
  <c r="R4" i="15"/>
  <c r="R19" i="15"/>
  <c r="R3" i="15"/>
  <c r="R18" i="15"/>
  <c r="R17" i="15"/>
  <c r="R19" i="8"/>
  <c r="R18" i="8"/>
  <c r="R17" i="8"/>
  <c r="R16" i="8"/>
  <c r="R15" i="8"/>
  <c r="R14" i="8"/>
  <c r="R8" i="8"/>
  <c r="R3" i="8"/>
  <c r="R7" i="8"/>
  <c r="R6" i="8"/>
  <c r="R21" i="8"/>
  <c r="R5" i="8"/>
  <c r="R13" i="8"/>
  <c r="R12" i="8"/>
  <c r="R11" i="8"/>
  <c r="R10" i="8"/>
  <c r="R9" i="8"/>
  <c r="R2" i="8"/>
  <c r="R20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21" i="14"/>
  <c r="N12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<sst xmlns="http://schemas.openxmlformats.org/spreadsheetml/2006/main" count="469" uniqueCount="97">
  <si>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</si>
  <si>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</si>
  <si>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</si>
  <si>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</si>
  <si>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</si>
  <si>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</si>
  <si>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</si>
  <si>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</si>
  <si>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</si>
  <si>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</si>
  <si>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</si>
  <si>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</si>
  <si>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</si>
  <si>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</si>
  <si>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</si>
  <si>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</si>
  <si>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</si>
  <si>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</si>
  <si>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</si>
  <si>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</si>
  <si>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</si>
  <si>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</si>
  <si>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</si>
  <si>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</si>
  <si>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</si>
  <si>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</si>
  <si>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</si>
  <si>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</si>
  <si>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</si>
  <si>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</si>
  <si>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</si>
  <si>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</si>
  <si>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</si>
  <si>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</si>
  <si>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</si>
  <si>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</si>
  <si>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</si>
  <si>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</si>
  <si>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</si>
  <si>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</si>
  <si>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</si>
  <si>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</si>
  <si>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</si>
  <si>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</si>
  <si>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</si>
  <si>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</si>
  <si>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</si>
  <si>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</si>
  <si>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</si>
  <si>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</si>
  <si>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</si>
  <si>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</si>
  <si>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</si>
  <si>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</si>
  <si>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</si>
  <si>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</si>
  <si>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</si>
  <si>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</si>
  <si>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</si>
  <si>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</si>
  <si>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</si>
  <si>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</si>
  <si>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</si>
  <si>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</si>
  <si>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</si>
  <si>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</si>
  <si>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</si>
  <si>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</si>
  <si>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</si>
  <si>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</si>
  <si>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</si>
  <si>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</si>
  <si>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</si>
  <si>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</si>
  <si>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</si>
  <si>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</si>
  <si>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</si>
  <si>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</si>
  <si>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</si>
  <si>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</si>
  <si>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</si>
  <si>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</si>
  <si>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</si>
  <si>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</si>
  <si>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</si>
  <si>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</si>
  <si>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</si>
  <si>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</si>
  <si>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</si>
  <si>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</si>
  <si>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</si>
  <si>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</si>
  <si>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</si>
  <si>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</si>
  <si>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</si>
  <si>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</si>
  <si>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 xml:space="preserve">Hour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</si>
</sst>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Job Application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Data!$O$2:$P$25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Data!$Q$2:$Q$25</c:f>
            </c:numRef>
          </c:val>
          <c:extLst>
            <c:ext xmlns:c16="http://schemas.microsoft.com/office/drawing/2014/chart" uri="{C3380CC4-5D6E-409C-BE32-E72D297353CC}">
              <c16:uniqueId val="{00000000-7D8F-4048-B052-E5E0623A34A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Data!$O$2:$P$25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Data!$R$2:$R$25</c:f>
            </c:numRef>
          </c:val>
          <c:extLst>
            <c:ext xmlns:c16="http://schemas.microsoft.com/office/drawing/2014/chart" uri="{C3380CC4-5D6E-409C-BE32-E72D297353CC}">
              <c16:uniqueId val="{00000001-7D8F-4048-B052-E5E0623A34A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Data!$O$2:$P$25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Data!$S$2:$S$25</c:f>
            </c:numRef>
          </c:val>
          <c:extLst>
            <c:ext xmlns:c16="http://schemas.microsoft.com/office/drawing/2014/chart" uri="{C3380CC4-5D6E-409C-BE32-E72D297353CC}">
              <c16:uniqueId val="{00000002-7D8F-4048-B052-E5E0623A34A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Data!$O$2:$P$25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Data!$T$2:$T$25</c:f>
            </c:numRef>
          </c:val>
          <c:extLst>
            <c:ext xmlns:c16="http://schemas.microsoft.com/office/drawing/2014/chart" uri="{C3380CC4-5D6E-409C-BE32-E72D297353CC}">
              <c16:uniqueId val="{00000003-7D8F-4048-B052-E5E0623A34A3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Data!$O$2:$P$25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Data!$U$2:$U$25</c:f>
            </c:numRef>
          </c:val>
          <c:extLst>
            <c:ext xmlns:c16="http://schemas.microsoft.com/office/drawing/2014/chart" uri="{C3380CC4-5D6E-409C-BE32-E72D297353CC}">
              <c16:uniqueId val="{00000004-7D8F-4048-B052-E5E0623A34A3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Data!$O$2:$P$25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Data!$V$2:$V$25</c:f>
            </c:numRef>
          </c:val>
          <c:extLst>
            <c:ext xmlns:c16="http://schemas.microsoft.com/office/drawing/2014/chart" uri="{C3380CC4-5D6E-409C-BE32-E72D297353CC}">
              <c16:uniqueId val="{00000005-7D8F-4048-B052-E5E0623A34A3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Data!$O$2:$P$25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Data!$W$2:$W$25</c:f>
            </c:numRef>
          </c:val>
          <c:extLst>
            <c:ext xmlns:c16="http://schemas.microsoft.com/office/drawing/2014/chart" uri="{C3380CC4-5D6E-409C-BE32-E72D297353CC}">
              <c16:uniqueId val="{00000006-7D8F-4048-B052-E5E0623A34A3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Data!$O$2:$P$25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Data!$X$2:$X$25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D8F-4048-B052-E5E0623A3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4498927"/>
        <c:axId val="1464514287"/>
      </c:barChart>
      <c:catAx>
        <c:axId val="1464498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14287"/>
        <c:crosses val="autoZero"/>
        <c:auto val="1"/>
        <c:lblAlgn val="ctr"/>
        <c:lblOffset val="100"/>
        <c:noMultiLvlLbl val="0"/>
      </c:catAx>
      <c:valAx>
        <c:axId val="146451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498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1007165</xdr:colOff>
      <xdr:row>6</xdr:row>
      <xdr:rowOff>82826</xdr:rowOff>
    </xdr:from>
    <xdr:to>
      <xdr:col>32</xdr:col>
      <xdr:colOff>258418</xdr:colOff>
      <xdr:row>21</xdr:row>
      <xdr:rowOff>36444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D46D1-4533-3A09-6149-1F01D4385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Y25"/>
  <sheetViews>
    <sheetView tabSelected="1" topLeftCell="A5" zoomScale="115" zoomScaleNormal="115" workbookViewId="0">
      <selection activeCell="O2" sqref="O2:X25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9" max="9" width="8.44140625" bestFit="1" customWidth="1"/>
    <col min="10" max="13" width="8.88671875" hidden="1" customWidth="1"/>
    <col min="14" max="14" width="15" hidden="1" customWidth="1"/>
    <col min="15" max="15" width="13.109375" bestFit="1" customWidth="1"/>
    <col min="16" max="16" width="10.5546875" hidden="1" customWidth="1"/>
    <col min="17" max="17" width="8.88671875" hidden="1" customWidth="1"/>
    <col min="18" max="18" width="16" hidden="1" customWidth="1"/>
    <col min="19" max="22" width="8.88671875" hidden="1" customWidth="1"/>
    <col min="23" max="23" width="26.5546875" hidden="1" customWidth="1"/>
    <col min="24" max="24" width="11.77734375" customWidth="1"/>
    <col min="25" max="25" width="15.33203125" customWidth="1"/>
    <col min="26" max="26" width="8.88671875" customWidth="1"/>
  </cols>
  <sheetData>
    <row r="1" spans="1:25" x14ac:dyDescent="0.3">
      <c r="A1" s="2" t="s">
        <v>63</v>
      </c>
      <c r="B1" s="3" t="s">
        <v>2</v>
      </c>
      <c r="C1" s="3" t="s">
        <v>3</v>
      </c>
      <c r="D1" s="10" t="s">
        <v>86</v>
      </c>
      <c r="E1" s="10" t="s">
        <v>86</v>
      </c>
      <c r="F1" s="10" t="s">
        <v>86</v>
      </c>
      <c r="G1" s="10" t="s">
        <v>86</v>
      </c>
      <c r="H1" s="10" t="s">
        <v>86</v>
      </c>
      <c r="I1" s="10" t="s">
        <v>96</v>
      </c>
      <c r="J1" s="15" t="s">
        <v>84</v>
      </c>
      <c r="K1" s="15" t="s">
        <v>88</v>
      </c>
      <c r="L1" s="15" t="s">
        <v>85</v>
      </c>
      <c r="N1" s="15" t="s">
        <v>22</v>
      </c>
      <c r="O1" s="15" t="s">
        <v>93</v>
      </c>
      <c r="P1" s="16"/>
      <c r="R1" s="15" t="s">
        <v>89</v>
      </c>
      <c r="T1" s="15" t="s">
        <v>90</v>
      </c>
      <c r="U1" s="15" t="s">
        <v>91</v>
      </c>
      <c r="V1" s="15" t="s">
        <v>92</v>
      </c>
      <c r="X1" s="15"/>
      <c r="Y1" s="15" t="s">
        <v>95</v>
      </c>
    </row>
    <row r="2" spans="1:25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I2" cm="1">
        <f t="array" ref="I2:I21">HOUR(D2:D21)</f>
        <v>15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O2" cm="1">
        <f t="array" ref="O2:O25">_xlfn.SEQUENCE(24,,1)</f>
        <v>1</v>
      </c>
      <c r="P2" s="9">
        <f ca="1">TODAY()</f>
        <v>46089</v>
      </c>
      <c r="R2">
        <f ca="1">DATEDIF(N2,$P$2,"D")</f>
        <v>1118</v>
      </c>
      <c r="X2" s="17">
        <f>COUNTIFS(_xlfn.ANCHORARRAY($I$2),O2)</f>
        <v>0</v>
      </c>
    </row>
    <row r="3" spans="1:25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>
        <v>9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O3">
        <v>2</v>
      </c>
      <c r="R3">
        <f t="shared" ref="R3:R21" ca="1" si="4">DATEDIF(N3,$P$2,"D")</f>
        <v>1034</v>
      </c>
      <c r="X3" s="17">
        <f t="shared" ref="X3:X25" si="5">COUNTIFS(_xlfn.ANCHORARRAY($I$2),O3)</f>
        <v>0</v>
      </c>
    </row>
    <row r="4" spans="1:25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>
        <v>17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O4">
        <v>3</v>
      </c>
      <c r="R4">
        <f t="shared" ca="1" si="4"/>
        <v>961</v>
      </c>
      <c r="X4" s="17">
        <f t="shared" si="5"/>
        <v>0</v>
      </c>
    </row>
    <row r="5" spans="1:25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>
        <v>7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O5">
        <v>4</v>
      </c>
      <c r="R5">
        <f t="shared" ca="1" si="4"/>
        <v>916</v>
      </c>
      <c r="X5" s="17">
        <f t="shared" si="5"/>
        <v>0</v>
      </c>
    </row>
    <row r="6" spans="1:25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>
        <v>17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O6">
        <v>5</v>
      </c>
      <c r="R6">
        <f t="shared" ca="1" si="4"/>
        <v>841</v>
      </c>
      <c r="X6" s="17">
        <f t="shared" si="5"/>
        <v>0</v>
      </c>
    </row>
    <row r="7" spans="1:25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>
        <v>12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O7">
        <v>6</v>
      </c>
      <c r="R7">
        <f t="shared" ca="1" si="4"/>
        <v>787</v>
      </c>
      <c r="X7" s="17">
        <f t="shared" si="5"/>
        <v>1</v>
      </c>
    </row>
    <row r="8" spans="1:25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>
        <v>16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O8">
        <v>7</v>
      </c>
      <c r="R8">
        <f t="shared" ca="1" si="4"/>
        <v>735</v>
      </c>
      <c r="X8" s="17">
        <f t="shared" si="5"/>
        <v>3</v>
      </c>
    </row>
    <row r="9" spans="1:25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>
        <v>8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O9">
        <v>8</v>
      </c>
      <c r="R9">
        <f t="shared" ca="1" si="4"/>
        <v>681</v>
      </c>
      <c r="X9" s="17">
        <f t="shared" si="5"/>
        <v>1</v>
      </c>
    </row>
    <row r="10" spans="1:25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>
        <v>17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O10">
        <v>9</v>
      </c>
      <c r="R10">
        <f t="shared" ca="1" si="4"/>
        <v>631</v>
      </c>
      <c r="X10" s="17">
        <f t="shared" si="5"/>
        <v>1</v>
      </c>
    </row>
    <row r="11" spans="1:25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>
        <v>14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O11">
        <v>10</v>
      </c>
      <c r="R11">
        <f t="shared" ca="1" si="4"/>
        <v>609</v>
      </c>
      <c r="X11" s="17">
        <f t="shared" si="5"/>
        <v>1</v>
      </c>
    </row>
    <row r="12" spans="1:25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>
        <v>6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O12">
        <v>11</v>
      </c>
      <c r="R12">
        <f t="shared" ca="1" si="4"/>
        <v>634</v>
      </c>
      <c r="X12" s="17">
        <f t="shared" si="5"/>
        <v>1</v>
      </c>
    </row>
    <row r="13" spans="1:25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>
        <v>13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O13">
        <v>12</v>
      </c>
      <c r="R13">
        <f t="shared" ca="1" si="4"/>
        <v>1138</v>
      </c>
      <c r="X13" s="17">
        <f t="shared" si="5"/>
        <v>1</v>
      </c>
    </row>
    <row r="14" spans="1:25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>
        <v>11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O14">
        <v>13</v>
      </c>
      <c r="R14">
        <f t="shared" ca="1" si="4"/>
        <v>1087</v>
      </c>
      <c r="X14" s="17">
        <f t="shared" si="5"/>
        <v>1</v>
      </c>
    </row>
    <row r="15" spans="1:25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>
        <v>10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O15">
        <v>14</v>
      </c>
      <c r="R15">
        <f t="shared" ca="1" si="4"/>
        <v>1011</v>
      </c>
      <c r="X15" s="17">
        <f t="shared" si="5"/>
        <v>1</v>
      </c>
    </row>
    <row r="16" spans="1:25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>
        <v>17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O16">
        <v>15</v>
      </c>
      <c r="R16">
        <f t="shared" ca="1" si="4"/>
        <v>921</v>
      </c>
      <c r="X16" s="17">
        <f t="shared" si="5"/>
        <v>1</v>
      </c>
    </row>
    <row r="17" spans="1:24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>
        <v>7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O17">
        <v>16</v>
      </c>
      <c r="R17">
        <f t="shared" ca="1" si="4"/>
        <v>871</v>
      </c>
      <c r="X17" s="17">
        <f t="shared" si="5"/>
        <v>1</v>
      </c>
    </row>
    <row r="18" spans="1:24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>
        <v>17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O18">
        <v>17</v>
      </c>
      <c r="R18">
        <f t="shared" ca="1" si="4"/>
        <v>739</v>
      </c>
      <c r="X18" s="17">
        <f t="shared" si="5"/>
        <v>7</v>
      </c>
    </row>
    <row r="19" spans="1:24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>
        <v>17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O19">
        <v>18</v>
      </c>
      <c r="R19">
        <f t="shared" ca="1" si="4"/>
        <v>671</v>
      </c>
      <c r="X19" s="17">
        <f t="shared" si="5"/>
        <v>0</v>
      </c>
    </row>
    <row r="20" spans="1:24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>
        <v>7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O20">
        <v>19</v>
      </c>
      <c r="R20">
        <f t="shared" ca="1" si="4"/>
        <v>593</v>
      </c>
      <c r="X20" s="17">
        <f t="shared" si="5"/>
        <v>0</v>
      </c>
    </row>
    <row r="21" spans="1:24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>
        <v>17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O21">
        <v>20</v>
      </c>
      <c r="R21">
        <f t="shared" ca="1" si="4"/>
        <v>667</v>
      </c>
      <c r="X21" s="17">
        <f t="shared" si="5"/>
        <v>0</v>
      </c>
    </row>
    <row r="22" spans="1:24" x14ac:dyDescent="0.3">
      <c r="O22">
        <v>21</v>
      </c>
      <c r="X22" s="17">
        <f t="shared" si="5"/>
        <v>0</v>
      </c>
    </row>
    <row r="23" spans="1:24" x14ac:dyDescent="0.3">
      <c r="O23">
        <v>22</v>
      </c>
      <c r="X23" s="17">
        <f t="shared" si="5"/>
        <v>0</v>
      </c>
    </row>
    <row r="24" spans="1:24" x14ac:dyDescent="0.3">
      <c r="O24">
        <v>23</v>
      </c>
      <c r="X24" s="17">
        <f t="shared" si="5"/>
        <v>0</v>
      </c>
    </row>
    <row r="25" spans="1:24" x14ac:dyDescent="0.3">
      <c r="O25">
        <v>24</v>
      </c>
      <c r="X25" s="17">
        <f t="shared" si="5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10.332031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46089</v>
      </c>
      <c r="R2">
        <f ca="1">DATEDIF(D2,$P$2,"D")</f>
        <v>1118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1034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961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916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841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787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735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681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631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609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634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1138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1087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1011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921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871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739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671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593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B1" workbookViewId="0">
      <selection activeCell="O2" sqref="O2:O21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TEXT(D2,"HH:MM AM/PM")</f>
        <v>03:22 PM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TEXT(D3,"HH:MM AM/PM")</f>
        <v>09:45 AM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05:30 PM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 AM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05:00 PM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 PM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04:30 PM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 AM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05:50 PM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02:35 PM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 AM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01:15 PM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 AM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 AM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05:30 PM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 AM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05:15 PM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05:25 PM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 AM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05:45 PM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Sonawane Krishna</cp:lastModifiedBy>
  <dcterms:created xsi:type="dcterms:W3CDTF">2015-06-05T18:17:20Z</dcterms:created>
  <dcterms:modified xsi:type="dcterms:W3CDTF">2026-03-07T19:21:12Z</dcterms:modified>
</cp:coreProperties>
</file>