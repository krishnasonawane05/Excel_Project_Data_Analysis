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 Analyst\Excel_Data_Analytics_Course\2_Formulas_Functions\"/>
    </mc:Choice>
  </mc:AlternateContent>
  <xr:revisionPtr revIDLastSave="0" documentId="13_ncr:1_{D85C8701-A926-4D29-91F7-677766308BC9}" xr6:coauthVersionLast="47" xr6:coauthVersionMax="47" xr10:uidLastSave="{00000000-0000-0000-0000-000000000000}"/>
  <bookViews>
    <workbookView xWindow="-108" yWindow="-108" windowWidth="23256" windowHeight="12456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0" l="1" a="1"/>
  <c r="R3" i="10"/>
  <c r="R4" i="10" a="1"/>
  <c r="R4" i="10" s="1"/>
  <c r="R5" i="10" a="1"/>
  <c r="R5" i="10"/>
  <c r="R6" i="10" a="1"/>
  <c r="R6" i="10"/>
  <c r="R7" i="10" a="1"/>
  <c r="R7" i="10"/>
  <c r="R8" i="10" a="1"/>
  <c r="R8" i="10"/>
  <c r="R9" i="10" a="1"/>
  <c r="R9" i="10"/>
  <c r="R10" i="10" a="1"/>
  <c r="R10" i="10"/>
  <c r="R11" i="10" a="1"/>
  <c r="R11" i="10"/>
  <c r="R12" i="10" a="1"/>
  <c r="R12" i="10"/>
  <c r="R13" i="10" a="1"/>
  <c r="R13" i="10"/>
  <c r="R14" i="10" a="1"/>
  <c r="R14" i="10"/>
  <c r="R15" i="10" a="1"/>
  <c r="R15" i="10"/>
  <c r="R16" i="10" a="1"/>
  <c r="R16" i="10"/>
  <c r="R17" i="10" a="1"/>
  <c r="R17" i="10"/>
  <c r="R18" i="10" a="1"/>
  <c r="R18" i="10"/>
  <c r="R19" i="10" a="1"/>
  <c r="R19" i="10"/>
  <c r="R20" i="10" a="1"/>
  <c r="R20" i="10"/>
  <c r="R21" i="10" a="1"/>
  <c r="R21" i="10"/>
  <c r="R2" i="10" a="1"/>
  <c r="R2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  <c r="K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<sst xmlns="http://schemas.openxmlformats.org/spreadsheetml/2006/main" count="395" uniqueCount="144">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</sst>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tabSelected="1" zoomScale="120" zoomScaleNormal="120" workbookViewId="0">
      <selection activeCell="M1" sqref="M1:M1048576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8.21875" style="1" bestFit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customWidth="1"/>
    <col min="13" max="13" width="9.109375" style="1" customWidth="1"/>
    <col min="14" max="14" width="10.44140625" style="1" hidden="1" customWidth="1"/>
    <col min="15" max="15" width="14.109375" style="1" hidden="1" customWidth="1"/>
    <col min="16" max="16" width="9.6640625" style="1" customWidth="1"/>
    <col min="17" max="17" width="9.109375" style="1"/>
    <col min="18" max="18" width="14.109375" style="1" bestFit="1" customWidth="1"/>
    <col min="19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 "Goal Met", 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hidden="1" customWidth="1"/>
    <col min="13" max="13" width="9.109375" style="1" hidden="1" customWidth="1"/>
    <col min="14" max="14" width="10.44140625" style="1" hidden="1" customWidth="1"/>
    <col min="15" max="15" width="14.109375" style="1" hidden="1" customWidth="1"/>
    <col min="16" max="16" width="9.6640625" style="1" hidden="1" customWidth="1"/>
    <col min="17" max="17" width="9.6640625" style="1" customWidth="1"/>
    <col min="18" max="18" width="9.109375" style="1"/>
    <col min="19" max="19" width="14.109375" style="1" bestFit="1" customWidth="1"/>
    <col min="20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zoomScale="120" zoomScaleNormal="120" workbookViewId="0">
      <selection activeCell="R4" sqref="R4"/>
    </sheetView>
  </sheetViews>
  <sheetFormatPr defaultRowHeight="14.4" x14ac:dyDescent="0.3"/>
  <cols>
    <col min="1" max="1" width="19" customWidth="1"/>
    <col min="2" max="2" width="19.10937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2.5546875" hidden="1" customWidth="1"/>
    <col min="12" max="12" width="16.21875" hidden="1" customWidth="1"/>
    <col min="13" max="13" width="13.21875" hidden="1" customWidth="1"/>
    <col min="14" max="15" width="8.5546875" hidden="1" customWidth="1"/>
    <col min="16" max="16" width="11.21875" customWidth="1"/>
    <col min="17" max="17" width="9.88671875" bestFit="1" customWidth="1"/>
    <col min="18" max="18" width="10.88671875" bestFit="1" customWidth="1"/>
  </cols>
  <sheetData>
    <row r="1" spans="1:18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3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 =K$1, "Desired Role", "Not Desired")</f>
        <v>Not Desired</v>
      </c>
      <c r="L2" t="str">
        <f>IF($A2 =L$1, "Desired Role", "Not Desired")</f>
        <v>Not Desired</v>
      </c>
      <c r="M2" t="str">
        <f>IF($A2 =K$1, "Desired Role",IF($A2 =L$1, "Desired Role", "Not Desired"))</f>
        <v>Not Desired</v>
      </c>
      <c r="N2" t="b">
        <f>AND($A2=$K1,$A2= $L1)</f>
        <v>0</v>
      </c>
      <c r="O2" t="b">
        <f>OR($A2=$K$1, $A2=$L$1)</f>
        <v>0</v>
      </c>
      <c r="P2" t="str">
        <f>IF(OR($A2=$K$1, $A2=$L$1), "Desired Role", "Not Desired")</f>
        <v>Not Desired</v>
      </c>
      <c r="Q2" t="str">
        <f>IF($H2&gt;$Q$1, "Salary&gt;85K", "Salary Low")</f>
        <v>Salary&gt;85K</v>
      </c>
      <c r="R2" t="str" cm="1">
        <f t="array" ref="R2">_xlfn.IFS($H2="","No Data", $H2&gt;=Q1, "Salary&gt;$85k", TRUE, "Salary Low")</f>
        <v>Salary&gt;$85k</v>
      </c>
    </row>
    <row r="3" spans="1:18" x14ac:dyDescent="0.3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IF($A3 =K$1, "Desired Role", "Not Desired")</f>
        <v>Desired Role</v>
      </c>
      <c r="L3" t="str">
        <f t="shared" si="0"/>
        <v>Not Desired</v>
      </c>
      <c r="M3" t="str">
        <f t="shared" ref="M3:M21" si="1">IF($A3 =K$1, "Desired Role",IF($A3 =L$1, "Desired Role", "Not Desired"))</f>
        <v>Desired Role</v>
      </c>
      <c r="N3" t="b">
        <f t="shared" ref="N3:N21" si="2">AND($A3=$K2,$A3= $L2)</f>
        <v>0</v>
      </c>
      <c r="O3" t="b">
        <f t="shared" ref="O3:O21" si="3">OR($A3=$K$1, $A3=$L$1)</f>
        <v>1</v>
      </c>
      <c r="P3" t="str">
        <f t="shared" ref="P3:P21" si="4">IF(OR($A3=$K$1, $A3=$L$1), "Desired Role", "Not Desired")</f>
        <v>Desired Role</v>
      </c>
      <c r="Q3" t="str">
        <f t="shared" ref="Q3:Q21" si="5">IF($H3&gt;$Q$1, "Salary&gt;85K", "Salary Low")</f>
        <v>Salary Low</v>
      </c>
      <c r="R3" t="str" cm="1">
        <f t="array" ref="R3">_xlfn.IFS($H3="","No Data", $H3&gt;=Q2, "Salary&gt;$85k", TRUE, "Salary Low")</f>
        <v>Salary Low</v>
      </c>
    </row>
    <row r="4" spans="1:18" x14ac:dyDescent="0.3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Desired Role</v>
      </c>
      <c r="L4" t="str">
        <f t="shared" si="0"/>
        <v>Not Desired</v>
      </c>
      <c r="M4" t="str">
        <f t="shared" si="1"/>
        <v>Desired Role</v>
      </c>
      <c r="N4" t="b">
        <f t="shared" si="2"/>
        <v>0</v>
      </c>
      <c r="O4" t="b">
        <f t="shared" si="3"/>
        <v>1</v>
      </c>
      <c r="P4" t="str">
        <f t="shared" si="4"/>
        <v>Desired Role</v>
      </c>
      <c r="Q4" t="str">
        <f t="shared" si="5"/>
        <v>Salary Low</v>
      </c>
      <c r="R4" t="str" cm="1">
        <f t="array" ref="R4">_xlfn.IFS($H4="","No Data", $H4&gt;=Q3, "Salary&gt;$85k", TRUE, "Salary Low")</f>
        <v>No Data</v>
      </c>
    </row>
    <row r="5" spans="1:18" x14ac:dyDescent="0.3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Salary Low</v>
      </c>
      <c r="R5" t="str" cm="1">
        <f t="array" ref="R5">_xlfn.IFS($H5="","No Data", $H5&gt;=Q4, "Salary&gt;$85k", TRUE, "Salary Low")</f>
        <v>No Data</v>
      </c>
    </row>
    <row r="6" spans="1:18" x14ac:dyDescent="0.3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Salary Low</v>
      </c>
      <c r="R6" t="str" cm="1">
        <f t="array" ref="R6">_xlfn.IFS($H6="","No Data", $H6&gt;=Q5, "Salary&gt;$85k", TRUE, "Salary Low")</f>
        <v>No Data</v>
      </c>
    </row>
    <row r="7" spans="1:18" x14ac:dyDescent="0.3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Salary Low</v>
      </c>
      <c r="R7" t="str" cm="1">
        <f t="array" ref="R7">_xlfn.IFS($H7="","No Data", $H7&gt;=Q6, "Salary&gt;$85k", TRUE, "Salary Low")</f>
        <v>No Data</v>
      </c>
    </row>
    <row r="8" spans="1:18" x14ac:dyDescent="0.3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Desired Role</v>
      </c>
      <c r="L8" t="str">
        <f t="shared" si="0"/>
        <v>Not Desired</v>
      </c>
      <c r="M8" t="str">
        <f t="shared" si="1"/>
        <v>Desired Role</v>
      </c>
      <c r="N8" t="b">
        <f t="shared" si="2"/>
        <v>0</v>
      </c>
      <c r="O8" t="b">
        <f t="shared" si="3"/>
        <v>1</v>
      </c>
      <c r="P8" t="str">
        <f t="shared" si="4"/>
        <v>Desired Role</v>
      </c>
      <c r="Q8" t="str">
        <f t="shared" si="5"/>
        <v>Salary Low</v>
      </c>
      <c r="R8" t="str" cm="1">
        <f t="array" ref="R8">_xlfn.IFS($H8="","No Data", $H8&gt;=Q7, "Salary&gt;$85k", TRUE, "Salary Low")</f>
        <v>No Data</v>
      </c>
    </row>
    <row r="9" spans="1:18" x14ac:dyDescent="0.3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Desired Role</v>
      </c>
      <c r="L9" t="str">
        <f t="shared" si="0"/>
        <v>Not Desired</v>
      </c>
      <c r="M9" t="str">
        <f t="shared" si="1"/>
        <v>Desired Role</v>
      </c>
      <c r="N9" t="b">
        <f t="shared" si="2"/>
        <v>0</v>
      </c>
      <c r="O9" t="b">
        <f t="shared" si="3"/>
        <v>1</v>
      </c>
      <c r="P9" t="str">
        <f t="shared" si="4"/>
        <v>Desired Role</v>
      </c>
      <c r="Q9" t="str">
        <f t="shared" si="5"/>
        <v>Salary&gt;85K</v>
      </c>
      <c r="R9" t="str" cm="1">
        <f t="array" ref="R9">_xlfn.IFS($H9="","No Data", $H9&gt;=Q8, "Salary&gt;$85k", TRUE, "Salary Low")</f>
        <v>Salary Low</v>
      </c>
    </row>
    <row r="10" spans="1:18" x14ac:dyDescent="0.3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Desired Role</v>
      </c>
      <c r="L10" t="str">
        <f t="shared" si="0"/>
        <v>Not Desired</v>
      </c>
      <c r="M10" t="str">
        <f t="shared" si="1"/>
        <v>Desired Role</v>
      </c>
      <c r="N10" t="b">
        <f t="shared" si="2"/>
        <v>0</v>
      </c>
      <c r="O10" t="b">
        <f t="shared" si="3"/>
        <v>1</v>
      </c>
      <c r="P10" t="str">
        <f t="shared" si="4"/>
        <v>Desired Role</v>
      </c>
      <c r="Q10" t="str">
        <f t="shared" si="5"/>
        <v>Salary Low</v>
      </c>
      <c r="R10" t="str" cm="1">
        <f t="array" ref="R10">_xlfn.IFS($H10="","No Data", $H10&gt;=Q9, "Salary&gt;$85k", TRUE, "Salary Low")</f>
        <v>No Data</v>
      </c>
    </row>
    <row r="11" spans="1:18" x14ac:dyDescent="0.3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Desired Role</v>
      </c>
      <c r="L11" t="str">
        <f t="shared" si="0"/>
        <v>Not Desired</v>
      </c>
      <c r="M11" t="str">
        <f t="shared" si="1"/>
        <v>Desired Role</v>
      </c>
      <c r="N11" t="b">
        <f t="shared" si="2"/>
        <v>0</v>
      </c>
      <c r="O11" t="b">
        <f t="shared" si="3"/>
        <v>1</v>
      </c>
      <c r="P11" t="str">
        <f t="shared" si="4"/>
        <v>Desired Role</v>
      </c>
      <c r="Q11" t="str">
        <f t="shared" si="5"/>
        <v>Salary&gt;85K</v>
      </c>
      <c r="R11" t="str" cm="1">
        <f t="array" ref="R11">_xlfn.IFS($H11="","No Data", $H11&gt;=Q10, "Salary&gt;$85k", TRUE, "Salary Low")</f>
        <v>Salary Low</v>
      </c>
    </row>
    <row r="12" spans="1:18" x14ac:dyDescent="0.3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Salary&gt;85K</v>
      </c>
      <c r="R12" t="str" cm="1">
        <f t="array" ref="R12">_xlfn.IFS($H12="","No Data", $H12&gt;=Q11, "Salary&gt;$85k", TRUE, "Salary Low")</f>
        <v>Salary Low</v>
      </c>
    </row>
    <row r="13" spans="1:18" x14ac:dyDescent="0.3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Salary&gt;85K</v>
      </c>
      <c r="R13" t="str" cm="1">
        <f t="array" ref="R13">_xlfn.IFS($H13="","No Data", $H13&gt;=Q12, "Salary&gt;$85k", TRUE, "Salary Low")</f>
        <v>Salary Low</v>
      </c>
    </row>
    <row r="14" spans="1:18" x14ac:dyDescent="0.3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Salary&gt;85K</v>
      </c>
      <c r="R14" t="str" cm="1">
        <f t="array" ref="R14">_xlfn.IFS($H14="","No Data", $H14&gt;=Q13, "Salary&gt;$85k", TRUE, "Salary Low")</f>
        <v>Salary Low</v>
      </c>
    </row>
    <row r="15" spans="1:18" x14ac:dyDescent="0.3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Salary Low</v>
      </c>
      <c r="R15" t="str" cm="1">
        <f t="array" ref="R15">_xlfn.IFS($H15="","No Data", $H15&gt;=Q14, "Salary&gt;$85k", TRUE, "Salary Low")</f>
        <v>Salary Low</v>
      </c>
    </row>
    <row r="16" spans="1:18" x14ac:dyDescent="0.3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Salary&gt;85K</v>
      </c>
      <c r="R16" t="str" cm="1">
        <f t="array" ref="R16">_xlfn.IFS($H16="","No Data", $H16&gt;=Q15, "Salary&gt;$85k", TRUE, "Salary Low")</f>
        <v>Salary Low</v>
      </c>
    </row>
    <row r="17" spans="1:18" x14ac:dyDescent="0.3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Salary&gt;85K</v>
      </c>
      <c r="R17" t="str" cm="1">
        <f t="array" ref="R17">_xlfn.IFS($H17="","No Data", $H17&gt;=Q16, "Salary&gt;$85k", TRUE, "Salary Low")</f>
        <v>Salary Low</v>
      </c>
    </row>
    <row r="18" spans="1:18" x14ac:dyDescent="0.3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0"/>
        <v>Desired Role</v>
      </c>
      <c r="M18" t="str">
        <f t="shared" si="1"/>
        <v>Desired Role</v>
      </c>
      <c r="N18" t="b">
        <f t="shared" si="2"/>
        <v>0</v>
      </c>
      <c r="O18" t="b">
        <f t="shared" si="3"/>
        <v>1</v>
      </c>
      <c r="P18" t="str">
        <f t="shared" si="4"/>
        <v>Desired Role</v>
      </c>
      <c r="Q18" t="str">
        <f t="shared" si="5"/>
        <v>Salary Low</v>
      </c>
      <c r="R18" t="str" cm="1">
        <f t="array" ref="R18">_xlfn.IFS($H18="","No Data", $H18&gt;=Q17, "Salary&gt;$85k", TRUE, "Salary Low")</f>
        <v>No Data</v>
      </c>
    </row>
    <row r="19" spans="1:18" x14ac:dyDescent="0.3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Salary&gt;85K</v>
      </c>
      <c r="R19" t="str" cm="1">
        <f t="array" ref="R19">_xlfn.IFS($H19="","No Data", $H19&gt;=Q18, "Salary&gt;$85k", TRUE, "Salary Low")</f>
        <v>Salary Low</v>
      </c>
    </row>
    <row r="20" spans="1:18" x14ac:dyDescent="0.3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Salary Low</v>
      </c>
      <c r="R20" t="str" cm="1">
        <f t="array" ref="R20">_xlfn.IFS($H20="","No Data", $H20&gt;=Q19, "Salary&gt;$85k", TRUE, "Salary Low")</f>
        <v>No Data</v>
      </c>
    </row>
    <row r="21" spans="1:18" x14ac:dyDescent="0.3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0"/>
        <v>Desired Role</v>
      </c>
      <c r="M21" t="str">
        <f t="shared" si="1"/>
        <v>Desired Role</v>
      </c>
      <c r="N21" t="b">
        <f t="shared" si="2"/>
        <v>0</v>
      </c>
      <c r="O21" t="b">
        <f t="shared" si="3"/>
        <v>1</v>
      </c>
      <c r="P21" t="str">
        <f t="shared" si="4"/>
        <v>Desired Role</v>
      </c>
      <c r="Q21" t="str">
        <f t="shared" si="5"/>
        <v>Salary&gt;85K</v>
      </c>
      <c r="R21" t="str" cm="1">
        <f t="array" ref="R21">_xlfn.IFS($H21="","No Data", $H21&gt;=Q20, "Salary&gt;$85k", TRUE, "Salary Low")</f>
        <v>Salary Low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4" x14ac:dyDescent="0.3"/>
  <cols>
    <col min="1" max="1" width="16.88671875" bestFit="1" customWidth="1"/>
    <col min="2" max="2" width="17.4414062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5.88671875" bestFit="1" customWidth="1"/>
    <col min="12" max="12" width="19.109375" bestFit="1" customWidth="1"/>
    <col min="13" max="13" width="14.21875" bestFit="1" customWidth="1"/>
    <col min="14" max="14" width="11.21875" bestFit="1" customWidth="1"/>
    <col min="15" max="15" width="10.109375" bestFit="1" customWidth="1"/>
    <col min="16" max="16" width="14.21875" bestFit="1" customWidth="1"/>
    <col min="17" max="17" width="10.6640625" bestFit="1" customWidth="1"/>
    <col min="18" max="18" width="12.44140625" bestFit="1" customWidth="1"/>
  </cols>
  <sheetData>
    <row r="1" spans="1:18 16384:16384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4" x14ac:dyDescent="0.3"/>
  <cols>
    <col min="1" max="1" width="6.5546875" customWidth="1"/>
    <col min="2" max="2" width="13.44140625" customWidth="1"/>
    <col min="3" max="3" width="31.44140625" bestFit="1" customWidth="1"/>
    <col min="4" max="4" width="60.44140625" bestFit="1" customWidth="1"/>
    <col min="5" max="5" width="19.6640625" bestFit="1" customWidth="1"/>
    <col min="6" max="6" width="17.5546875" bestFit="1" customWidth="1"/>
  </cols>
  <sheetData>
    <row r="2" spans="2:6" x14ac:dyDescent="0.3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3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zoomScale="177" zoomScaleNormal="177" workbookViewId="0">
      <selection activeCell="E2" sqref="D2:E2"/>
    </sheetView>
  </sheetViews>
  <sheetFormatPr defaultRowHeight="14.4" x14ac:dyDescent="0.3"/>
  <cols>
    <col min="2" max="2" width="9.88671875" bestFit="1" customWidth="1"/>
    <col min="3" max="3" width="10.5546875" customWidth="1"/>
  </cols>
  <sheetData>
    <row r="1" spans="2:5" ht="15" thickBot="1" x14ac:dyDescent="0.35"/>
    <row r="2" spans="2:5" x14ac:dyDescent="0.3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3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3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3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 x14ac:dyDescent="0.35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Sonawane Krishna</cp:lastModifiedBy>
  <dcterms:created xsi:type="dcterms:W3CDTF">2024-07-16T20:11:02Z</dcterms:created>
  <dcterms:modified xsi:type="dcterms:W3CDTF">2026-02-28T19:59:04Z</dcterms:modified>
</cp:coreProperties>
</file>