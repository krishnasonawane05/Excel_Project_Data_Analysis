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 Analyst\Excel_Data_Analytics_Course\2_Formulas_Functions\"/>
    </mc:Choice>
  </mc:AlternateContent>
  <xr:revisionPtr revIDLastSave="0" documentId="13_ncr:1_{431B6809-32B4-4FCE-96BD-879232A5A769}" xr6:coauthVersionLast="47" xr6:coauthVersionMax="47" xr10:uidLastSave="{00000000-0000-0000-0000-000000000000}"/>
  <bookViews>
    <workbookView xWindow="-108" yWindow="-108" windowWidth="23256" windowHeight="12456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1" l="1"/>
  <c r="C17" i="1"/>
  <c r="D16" i="1"/>
  <c r="C16" i="1"/>
  <c r="D15" i="1"/>
  <c r="E15" i="1"/>
  <c r="C15" i="1"/>
  <c r="D14" i="1"/>
  <c r="E14" i="1"/>
  <c r="F14" i="1"/>
  <c r="G14" i="1"/>
  <c r="H14" i="1"/>
  <c r="I14" i="1"/>
  <c r="J14" i="1"/>
  <c r="K14" i="1"/>
  <c r="C14" i="1"/>
  <c r="D13" i="1"/>
  <c r="E13" i="1"/>
  <c r="C13" i="1"/>
  <c r="G3" i="1"/>
  <c r="M3" i="1" s="1"/>
  <c r="M4" i="1"/>
  <c r="M5" i="1"/>
  <c r="M6" i="1"/>
  <c r="M7" i="1"/>
  <c r="M8" i="1"/>
  <c r="M9" i="1"/>
  <c r="M10" i="1"/>
  <c r="M11" i="1"/>
  <c r="L4" i="1"/>
  <c r="P4" i="1" s="1"/>
  <c r="L5" i="1"/>
  <c r="P5" i="1" s="1"/>
  <c r="L6" i="1"/>
  <c r="N6" i="1" s="1"/>
  <c r="O6" i="1" s="1"/>
  <c r="L7" i="1"/>
  <c r="N7" i="1" s="1"/>
  <c r="O7" i="1" s="1"/>
  <c r="L8" i="1"/>
  <c r="P8" i="1" s="1"/>
  <c r="L9" i="1"/>
  <c r="P9" i="1" s="1"/>
  <c r="L10" i="1"/>
  <c r="P10" i="1" s="1"/>
  <c r="L11" i="1"/>
  <c r="P11" i="1" s="1"/>
  <c r="L12" i="1"/>
  <c r="P12" i="1" s="1"/>
  <c r="L3" i="1"/>
  <c r="P3" i="1" s="1"/>
  <c r="K3" i="3"/>
  <c r="J3" i="3"/>
  <c r="I3" i="3"/>
  <c r="J12" i="3"/>
  <c r="J11" i="3"/>
  <c r="K4" i="1"/>
  <c r="K5" i="1"/>
  <c r="K6" i="1"/>
  <c r="K7" i="1"/>
  <c r="K8" i="1"/>
  <c r="K9" i="1"/>
  <c r="K10" i="1"/>
  <c r="K11" i="1"/>
  <c r="K12" i="1"/>
  <c r="K3" i="1"/>
  <c r="I4" i="1"/>
  <c r="J4" i="1" s="1"/>
  <c r="I5" i="1"/>
  <c r="J5" i="1" s="1"/>
  <c r="I6" i="1"/>
  <c r="J6" i="1" s="1"/>
  <c r="H4" i="1"/>
  <c r="H5" i="1"/>
  <c r="H6" i="1"/>
  <c r="H7" i="1"/>
  <c r="I7" i="1" s="1"/>
  <c r="J7" i="1" s="1"/>
  <c r="H8" i="1"/>
  <c r="I8" i="1" s="1"/>
  <c r="J8" i="1" s="1"/>
  <c r="H9" i="1"/>
  <c r="I9" i="1" s="1"/>
  <c r="J9" i="1" s="1"/>
  <c r="H10" i="1"/>
  <c r="I10" i="1" s="1"/>
  <c r="J10" i="1" s="1"/>
  <c r="H11" i="1"/>
  <c r="I11" i="1" s="1"/>
  <c r="J11" i="1" s="1"/>
  <c r="H12" i="1"/>
  <c r="I12" i="1" s="1"/>
  <c r="H3" i="1"/>
  <c r="I3" i="1" s="1"/>
  <c r="G4" i="1"/>
  <c r="G5" i="1"/>
  <c r="G6" i="1"/>
  <c r="G7" i="1"/>
  <c r="G8" i="1"/>
  <c r="G9" i="1"/>
  <c r="G10" i="1"/>
  <c r="G11" i="1"/>
  <c r="G12" i="1"/>
  <c r="M12" i="1" s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J4" i="3"/>
  <c r="J5" i="3"/>
  <c r="J6" i="3"/>
  <c r="J7" i="3"/>
  <c r="J8" i="3"/>
  <c r="J9" i="3"/>
  <c r="J10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P6" i="1" l="1"/>
  <c r="P7" i="1"/>
  <c r="J3" i="1"/>
  <c r="N4" i="1"/>
  <c r="O4" i="1" s="1"/>
  <c r="N12" i="1"/>
  <c r="O12" i="1" s="1"/>
  <c r="N5" i="1"/>
  <c r="O5" i="1" s="1"/>
  <c r="N3" i="1"/>
  <c r="N11" i="1"/>
  <c r="O11" i="1" s="1"/>
  <c r="N8" i="1"/>
  <c r="O8" i="1" s="1"/>
  <c r="N10" i="1"/>
  <c r="O10" i="1" s="1"/>
  <c r="N9" i="1"/>
  <c r="O9" i="1" s="1"/>
  <c r="J12" i="1"/>
  <c r="O4" i="4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  <c r="O3" i="1" l="1"/>
  <c r="N14" i="1"/>
</calcChain>
</file>

<file path=xl/sharedStrings.xml><?xml version="1.0" encoding="utf-8"?>
<sst xmlns="http://schemas.openxmlformats.org/spreadsheetml/2006/main" count="126" uniqueCount="59">
  <si>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</si>
  <si>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</si>
  <si>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</si>
  <si>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</si>
  <si>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</si>
  <si>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</si>
  <si>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</si>
  <si>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</si>
  <si>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</si>
  <si>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</si>
  <si>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</si>
  <si>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</si>
  <si>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</si>
  <si>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</si>
  <si>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</si>
  <si>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</si>
  <si>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</si>
  <si>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</si>
  <si>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</si>
  <si>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</si>
  <si>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</si>
  <si>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</si>
  <si>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</si>
  <si>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</si>
  <si>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</si>
  <si>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</si>
  <si>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</si>
  <si>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</si>
  <si>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</si>
  <si>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</si>
  <si>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</si>
  <si>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</si>
  <si>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</si>
  <si>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</si>
  <si>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</si>
  <si>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</si>
  <si>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</si>
  <si>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</si>
  <si>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</si>
  <si>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</si>
  <si>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</si>
  <si>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</si>
  <si>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</si>
  <si>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</si>
  <si>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</si>
  <si>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</si>
  <si>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</si>
  <si>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</si>
  <si>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</si>
  <si>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</si>
  <si>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</si>
  <si>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</si>
  <si>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</si>
  <si>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</si>
  <si>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Meet Both - 
AND()</t>
  </si>
  <si>
    <t>Average (by Cell)</t>
  </si>
  <si>
    <t>Total Count</t>
  </si>
  <si>
    <t>Meets Goals Count</t>
  </si>
  <si>
    <r>
      <t>Average (</t>
    </r>
    <r>
      <rPr>
        <sz val="12"/>
        <color theme="1"/>
        <rFont val="Calibri"/>
        <family val="2"/>
      </rPr>
      <t>AVERAGE</t>
    </r>
    <r>
      <rPr>
        <sz val="11"/>
        <color theme="1"/>
        <rFont val="Calibri"/>
        <family val="2"/>
      </rPr>
      <t>())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</si>
</sst>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9" fontId="3" fillId="0" borderId="0" xfId="1" applyFont="1"/>
    <xf numFmtId="0" fontId="3" fillId="0" borderId="1" xfId="0" applyFont="1" applyBorder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/>
    <xf numFmtId="0" fontId="3" fillId="0" borderId="15" xfId="0" applyFont="1" applyBorder="1"/>
    <xf numFmtId="0" fontId="3" fillId="0" borderId="0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S17"/>
  <sheetViews>
    <sheetView tabSelected="1" zoomScale="140" zoomScaleNormal="140" workbookViewId="0">
      <selection activeCell="S5" sqref="S5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44140625" style="4" customWidth="1"/>
    <col min="6" max="6" width="10" style="4" hidden="1" customWidth="1"/>
    <col min="7" max="9" width="0" style="4" hidden="1" customWidth="1"/>
    <col min="10" max="10" width="16.77734375" style="4" hidden="1" customWidth="1"/>
    <col min="11" max="11" width="0.6640625" style="4" hidden="1" customWidth="1"/>
    <col min="12" max="12" width="16.109375" style="4" customWidth="1"/>
    <col min="13" max="13" width="16.5546875" style="4" customWidth="1"/>
    <col min="14" max="14" width="13.21875" style="4" hidden="1" customWidth="1"/>
    <col min="15" max="15" width="17.77734375" style="4" customWidth="1"/>
    <col min="16" max="16" width="15.88671875" style="4" customWidth="1"/>
    <col min="17" max="17" width="14.5546875" style="4" customWidth="1"/>
    <col min="18" max="18" width="15.21875" style="4" customWidth="1"/>
    <col min="19" max="16384" width="9" style="4"/>
  </cols>
  <sheetData>
    <row r="1" spans="2:19" ht="15" thickBot="1" x14ac:dyDescent="0.35"/>
    <row r="2" spans="2:19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32" t="s">
        <v>53</v>
      </c>
      <c r="P2" s="32" t="s">
        <v>54</v>
      </c>
    </row>
    <row r="3" spans="2:19" ht="15" thickBot="1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D3*H3+D3</f>
        <v>130000</v>
      </c>
      <c r="J3" s="4" t="b">
        <f>G3=I3</f>
        <v>1</v>
      </c>
      <c r="K3" s="4" t="b">
        <f>E3&gt;D3</f>
        <v>0</v>
      </c>
      <c r="L3" s="4" t="b">
        <f>C3&lt;=$S$4</f>
        <v>0</v>
      </c>
      <c r="M3" s="4" t="b">
        <f>$G3&gt;=$S$5</f>
        <v>1</v>
      </c>
      <c r="N3" s="4">
        <f>M3*L3</f>
        <v>0</v>
      </c>
      <c r="O3" s="33" t="b">
        <f>N3=1</f>
        <v>0</v>
      </c>
      <c r="P3" s="33" t="b">
        <f>AND(L3,M3)</f>
        <v>0</v>
      </c>
      <c r="R3" s="29" t="s">
        <v>51</v>
      </c>
    </row>
    <row r="4" spans="2:19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D4*H4+D4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>C4&lt;=$S$4</f>
        <v>1</v>
      </c>
      <c r="M4" s="4" t="b">
        <f>$G4&gt;=$S$5</f>
        <v>1</v>
      </c>
      <c r="N4" s="4">
        <f t="shared" ref="N4:N12" si="6">M4*L4</f>
        <v>1</v>
      </c>
      <c r="O4" s="33" t="b">
        <f t="shared" ref="O4:O12" si="7">N4=1</f>
        <v>1</v>
      </c>
      <c r="P4" s="33" t="b">
        <f t="shared" ref="P4:P12" si="8">AND(L4,M4)</f>
        <v>1</v>
      </c>
      <c r="R4" s="25" t="s">
        <v>48</v>
      </c>
      <c r="S4" s="26">
        <v>4</v>
      </c>
    </row>
    <row r="5" spans="2:19" ht="15" thickBot="1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>C5&lt;=$S$4</f>
        <v>1</v>
      </c>
      <c r="M5" s="4" t="b">
        <f>$G5&gt;=$S$5</f>
        <v>0</v>
      </c>
      <c r="N5" s="4">
        <f t="shared" si="6"/>
        <v>0</v>
      </c>
      <c r="O5" s="33" t="b">
        <f t="shared" si="7"/>
        <v>0</v>
      </c>
      <c r="P5" s="33" t="b">
        <f t="shared" si="8"/>
        <v>0</v>
      </c>
      <c r="R5" s="27" t="s">
        <v>49</v>
      </c>
      <c r="S5" s="28">
        <v>90000</v>
      </c>
    </row>
    <row r="6" spans="2:19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>C6&lt;=$S$4</f>
        <v>0</v>
      </c>
      <c r="M6" s="4" t="b">
        <f>$G6&gt;=$S$5</f>
        <v>1</v>
      </c>
      <c r="N6" s="4">
        <f t="shared" si="6"/>
        <v>0</v>
      </c>
      <c r="O6" s="33" t="b">
        <f t="shared" si="7"/>
        <v>0</v>
      </c>
      <c r="P6" s="33" t="b">
        <f t="shared" si="8"/>
        <v>0</v>
      </c>
    </row>
    <row r="7" spans="2:19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>C7&lt;=$S$4</f>
        <v>1</v>
      </c>
      <c r="M7" s="4" t="b">
        <f>$G7&gt;=$S$5</f>
        <v>1</v>
      </c>
      <c r="N7" s="4">
        <f t="shared" si="6"/>
        <v>1</v>
      </c>
      <c r="O7" s="33" t="b">
        <f t="shared" si="7"/>
        <v>1</v>
      </c>
      <c r="P7" s="33" t="b">
        <f t="shared" si="8"/>
        <v>1</v>
      </c>
    </row>
    <row r="8" spans="2:19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>C8&lt;=$S$4</f>
        <v>0</v>
      </c>
      <c r="M8" s="4" t="b">
        <f>$G8&gt;=$S$5</f>
        <v>1</v>
      </c>
      <c r="N8" s="4">
        <f t="shared" si="6"/>
        <v>0</v>
      </c>
      <c r="O8" s="33" t="b">
        <f t="shared" si="7"/>
        <v>0</v>
      </c>
      <c r="P8" s="33" t="b">
        <f t="shared" si="8"/>
        <v>0</v>
      </c>
    </row>
    <row r="9" spans="2:19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>C9&lt;=$S$4</f>
        <v>0</v>
      </c>
      <c r="M9" s="4" t="b">
        <f>$G9&gt;=$S$5</f>
        <v>1</v>
      </c>
      <c r="N9" s="4">
        <f t="shared" si="6"/>
        <v>0</v>
      </c>
      <c r="O9" s="33" t="b">
        <f t="shared" si="7"/>
        <v>0</v>
      </c>
      <c r="P9" s="33" t="b">
        <f t="shared" si="8"/>
        <v>0</v>
      </c>
    </row>
    <row r="10" spans="2:19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>C10&lt;=$S$4</f>
        <v>0</v>
      </c>
      <c r="M10" s="4" t="b">
        <f>$G10&gt;=$S$5</f>
        <v>1</v>
      </c>
      <c r="N10" s="4">
        <f t="shared" si="6"/>
        <v>0</v>
      </c>
      <c r="O10" s="33" t="b">
        <f t="shared" si="7"/>
        <v>0</v>
      </c>
      <c r="P10" s="33" t="b">
        <f t="shared" si="8"/>
        <v>0</v>
      </c>
    </row>
    <row r="11" spans="2:19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>C11&lt;=$S$4</f>
        <v>1</v>
      </c>
      <c r="M11" s="4" t="b">
        <f>$G11&gt;=$S$5</f>
        <v>1</v>
      </c>
      <c r="N11" s="4">
        <f t="shared" si="6"/>
        <v>1</v>
      </c>
      <c r="O11" s="33" t="b">
        <f t="shared" si="7"/>
        <v>1</v>
      </c>
      <c r="P11" s="33" t="b">
        <f t="shared" si="8"/>
        <v>1</v>
      </c>
    </row>
    <row r="12" spans="2:19" x14ac:dyDescent="0.3">
      <c r="B12" s="34" t="s">
        <v>9</v>
      </c>
      <c r="C12" s="35">
        <v>5</v>
      </c>
      <c r="D12" s="35">
        <v>115000</v>
      </c>
      <c r="E12" s="36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>C12&lt;=$S$4</f>
        <v>0</v>
      </c>
      <c r="M12" s="4" t="b">
        <f>$G12&gt;=$S5</f>
        <v>1</v>
      </c>
      <c r="N12" s="4">
        <f t="shared" si="6"/>
        <v>0</v>
      </c>
      <c r="O12" s="33" t="b">
        <f t="shared" si="7"/>
        <v>0</v>
      </c>
      <c r="P12" s="33" t="b">
        <f t="shared" si="8"/>
        <v>0</v>
      </c>
    </row>
    <row r="13" spans="2:19" x14ac:dyDescent="0.3">
      <c r="B13" s="31" t="s">
        <v>55</v>
      </c>
      <c r="C13" s="31">
        <f>(C3+C4+C5+C6+C7+C8+C9+C10+C11+C12)/10</f>
        <v>5.3</v>
      </c>
      <c r="D13" s="31">
        <f t="shared" ref="D13:E13" si="9">(D3+D4+D5+D6+D7+D8+D9+D10+D11+D12)/10</f>
        <v>119000</v>
      </c>
      <c r="E13" s="31">
        <f t="shared" si="9"/>
        <v>10400</v>
      </c>
    </row>
    <row r="14" spans="2:19" ht="15.6" x14ac:dyDescent="0.3">
      <c r="B14" s="31" t="s">
        <v>58</v>
      </c>
      <c r="C14" s="31">
        <f>AVERAGE(C3:C12)</f>
        <v>5.3</v>
      </c>
      <c r="D14" s="31">
        <f t="shared" ref="D14:N14" si="10">AVERAGE(D3:D12)</f>
        <v>119000</v>
      </c>
      <c r="E14" s="31">
        <f t="shared" si="10"/>
        <v>10400</v>
      </c>
      <c r="F14" s="31">
        <f t="shared" si="10"/>
        <v>5.3</v>
      </c>
      <c r="G14" s="31">
        <f t="shared" si="10"/>
        <v>129400</v>
      </c>
      <c r="H14" s="31">
        <f t="shared" si="10"/>
        <v>8.5565480895915674E-2</v>
      </c>
      <c r="I14" s="31">
        <f t="shared" si="10"/>
        <v>129400</v>
      </c>
      <c r="J14" s="31" t="e">
        <f t="shared" si="10"/>
        <v>#DIV/0!</v>
      </c>
      <c r="K14" s="37" t="e">
        <f t="shared" si="10"/>
        <v>#DIV/0!</v>
      </c>
      <c r="L14" s="39"/>
      <c r="M14" s="39"/>
      <c r="N14" s="38">
        <f t="shared" si="10"/>
        <v>0.3</v>
      </c>
    </row>
    <row r="15" spans="2:19" x14ac:dyDescent="0.3">
      <c r="B15" s="31" t="s">
        <v>56</v>
      </c>
      <c r="C15" s="31">
        <f>COUNT(C3:C12)</f>
        <v>10</v>
      </c>
      <c r="D15" s="31">
        <f t="shared" ref="D15:E15" si="11">COUNT(D3:D12)</f>
        <v>10</v>
      </c>
      <c r="E15" s="31">
        <f t="shared" si="11"/>
        <v>10</v>
      </c>
    </row>
    <row r="16" spans="2:19" x14ac:dyDescent="0.3">
      <c r="B16" s="31" t="s">
        <v>57</v>
      </c>
      <c r="C16" s="31">
        <f>COUNTIF($C$3:$C$12,"&lt;=4")</f>
        <v>4</v>
      </c>
      <c r="D16" s="31">
        <f>COUNTIF($D$3:$D$12,"&gt;=90000")</f>
        <v>9</v>
      </c>
      <c r="E16" s="31"/>
    </row>
    <row r="17" spans="2:5" x14ac:dyDescent="0.3">
      <c r="B17" s="31" t="s">
        <v>57</v>
      </c>
      <c r="C17" s="31">
        <f>COUNTIF($C$3:$C$12,"&lt;="&amp;S4)</f>
        <v>4</v>
      </c>
      <c r="D17" s="31">
        <f>COUNTIF($D$3:$D$12,"&gt;="&amp;S5)</f>
        <v>9</v>
      </c>
      <c r="E17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customWidth="1"/>
    <col min="7" max="7" width="9" style="4"/>
    <col min="8" max="9" width="11" style="4" customWidth="1"/>
    <col min="10" max="11" width="9" style="4"/>
    <col min="12" max="12" width="12.5546875" style="4" bestFit="1" customWidth="1"/>
    <col min="13" max="16384" width="9" style="4"/>
  </cols>
  <sheetData>
    <row r="1" spans="2:12" ht="15" thickBot="1" x14ac:dyDescent="0.35"/>
    <row r="2" spans="2:12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8" width="11" style="4" hidden="1" customWidth="1"/>
    <col min="9" max="9" width="11" style="4" customWidth="1"/>
    <col min="10" max="10" width="17.21875" style="4" customWidth="1"/>
    <col min="11" max="11" width="14.21875" style="4" customWidth="1"/>
    <col min="12" max="13" width="9" style="4"/>
    <col min="14" max="14" width="19.109375" style="4" bestFit="1" customWidth="1"/>
    <col min="15" max="16384" width="9" style="4"/>
  </cols>
  <sheetData>
    <row r="1" spans="2:14" ht="15" thickBot="1" x14ac:dyDescent="0.35"/>
    <row r="2" spans="2:14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>G11=I11</f>
        <v>1</v>
      </c>
      <c r="K11" s="4" t="b">
        <f t="shared" si="5"/>
        <v>0</v>
      </c>
    </row>
    <row r="12" spans="2:14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>G12=I12</f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9" width="11" style="4" hidden="1" customWidth="1"/>
    <col min="10" max="10" width="17.21875" style="4" hidden="1" customWidth="1"/>
    <col min="11" max="11" width="14.21875" style="4" hidden="1" customWidth="1"/>
    <col min="12" max="12" width="10.109375" style="4" customWidth="1"/>
    <col min="13" max="13" width="9" style="4"/>
    <col min="14" max="14" width="10.44140625" style="4" customWidth="1"/>
    <col min="15" max="16384" width="9" style="4"/>
  </cols>
  <sheetData>
    <row r="1" spans="2:15" ht="15" thickBot="1" x14ac:dyDescent="0.35"/>
    <row r="2" spans="2:15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Sonawane Krishna</cp:lastModifiedBy>
  <dcterms:created xsi:type="dcterms:W3CDTF">2024-07-16T20:11:02Z</dcterms:created>
  <dcterms:modified xsi:type="dcterms:W3CDTF">2026-02-27T20:53:13Z</dcterms:modified>
</cp:coreProperties>
</file>